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umsi" sheetId="1" state="visible" r:id="rId1"/>
    <sheet xmlns:r="http://schemas.openxmlformats.org/officeDocument/2006/relationships" name="Per Faskes" sheetId="2" state="visible" r:id="rId2"/>
    <sheet xmlns:r="http://schemas.openxmlformats.org/officeDocument/2006/relationships" name="Skenario" sheetId="3" state="visible" r:id="rId3"/>
    <sheet xmlns:r="http://schemas.openxmlformats.org/officeDocument/2006/relationships" name="Dampak Nasional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\(#,##0\);\-"/>
    <numFmt numFmtId="166" formatCode="0.0\×"/>
    <numFmt numFmtId="167" formatCode="0.0&quot; bulan&quot;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0C246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64748B"/>
      <sz val="9"/>
    </font>
    <font>
      <name val="Arial"/>
      <charset val="1"/>
      <family val="0"/>
      <color rgb="FF334155"/>
      <sz val="10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64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64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897B"/>
      <sz val="13"/>
    </font>
    <font>
      <name val="Arial"/>
      <charset val="1"/>
      <family val="0"/>
      <b val="1"/>
      <color rgb="FF006400"/>
      <sz val="16"/>
    </font>
    <font>
      <name val="Arial"/>
      <charset val="1"/>
      <family val="0"/>
      <b val="1"/>
      <color rgb="FF334155"/>
      <sz val="10"/>
    </font>
    <font>
      <name val="Arial"/>
      <charset val="1"/>
      <family val="0"/>
      <color rgb="FF006400"/>
      <sz val="10"/>
    </font>
    <font>
      <name val="Arial"/>
      <charset val="1"/>
      <family val="0"/>
      <color rgb="FF000000"/>
      <sz val="10"/>
    </font>
    <font>
      <color rgb="FF0000FF"/>
    </font>
    <font>
      <color rgb="FF000000"/>
    </font>
  </fonts>
  <fills count="11">
    <fill>
      <patternFill/>
    </fill>
    <fill>
      <patternFill patternType="gray125"/>
    </fill>
    <fill>
      <patternFill patternType="solid">
        <fgColor rgb="FF0C2461"/>
        <bgColor rgb="FF000080"/>
      </patternFill>
    </fill>
    <fill>
      <patternFill patternType="solid">
        <fgColor rgb="FFEEF4FF"/>
        <bgColor rgb="FFF5F5F5"/>
      </patternFill>
    </fill>
    <fill>
      <patternFill patternType="solid">
        <fgColor rgb="FFE0F2F1"/>
        <bgColor rgb="FFE8F5E9"/>
      </patternFill>
    </fill>
    <fill>
      <patternFill patternType="solid">
        <fgColor rgb="FF00897B"/>
        <bgColor rgb="FF008080"/>
      </patternFill>
    </fill>
    <fill>
      <patternFill patternType="solid">
        <fgColor rgb="FFF5F5F5"/>
        <bgColor rgb="FFEEF4FF"/>
      </patternFill>
    </fill>
    <fill>
      <patternFill patternType="solid">
        <fgColor rgb="FFFFEBEE"/>
        <bgColor rgb="FFF5F5F5"/>
      </patternFill>
    </fill>
    <fill>
      <patternFill patternType="solid">
        <fgColor rgb="FFE8F5E9"/>
        <bgColor rgb="FFE0F2F1"/>
      </patternFill>
    </fill>
    <fill>
      <patternFill patternType="solid">
        <fgColor rgb="FFFFF8E1"/>
        <bgColor rgb="FFF5F5F5"/>
      </patternFill>
    </fill>
    <fill>
      <patternFill patternType="solid">
        <fgColor rgb="FFFFF9C4"/>
        <bgColor rgb="FFFFF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left" vertical="bottom"/>
    </xf>
    <xf numFmtId="3" fontId="10" fillId="0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right" vertical="bottom"/>
    </xf>
    <xf numFmtId="0" fontId="6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/>
    </xf>
    <xf numFmtId="3" fontId="15" fillId="0" borderId="1" applyAlignment="1" pivotButton="0" quotePrefix="0" xfId="0">
      <alignment horizontal="right" vertical="bottom"/>
    </xf>
    <xf numFmtId="164" fontId="15" fillId="0" borderId="1" applyAlignment="1" pivotButton="0" quotePrefix="0" xfId="0">
      <alignment horizontal="right" vertical="bottom"/>
    </xf>
    <xf numFmtId="165" fontId="16" fillId="0" borderId="1" applyAlignment="1" pivotButton="0" quotePrefix="0" xfId="0">
      <alignment horizontal="right" vertical="bottom"/>
    </xf>
    <xf numFmtId="3" fontId="16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6" fillId="8" borderId="0" applyAlignment="1" pivotButton="0" quotePrefix="0" xfId="0">
      <alignment horizontal="left" vertical="center"/>
    </xf>
    <xf numFmtId="165" fontId="15" fillId="0" borderId="1" applyAlignment="1" pivotButton="0" quotePrefix="0" xfId="0">
      <alignment horizontal="right" vertical="bottom"/>
    </xf>
    <xf numFmtId="166" fontId="16" fillId="0" borderId="1" applyAlignment="1" pivotButton="0" quotePrefix="0" xfId="0">
      <alignment horizontal="right" vertical="bottom"/>
    </xf>
    <xf numFmtId="167" fontId="15" fillId="0" borderId="1" applyAlignment="1" pivotButton="0" quotePrefix="0" xfId="0">
      <alignment horizontal="right" vertical="bottom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general" vertical="bottom"/>
    </xf>
    <xf numFmtId="3" fontId="17" fillId="9" borderId="0" applyAlignment="1" pivotButton="0" quotePrefix="0" xfId="0">
      <alignment horizontal="right" vertical="bottom"/>
    </xf>
    <xf numFmtId="166" fontId="18" fillId="10" borderId="0" applyAlignment="1" pivotButton="0" quotePrefix="0" xfId="0">
      <alignment horizontal="right" vertical="bottom"/>
    </xf>
    <xf numFmtId="167" fontId="17" fillId="9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3" fontId="20" fillId="0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0" fontId="9" fillId="0" borderId="1" applyAlignment="1" pivotButton="0" quotePrefix="0" xfId="0">
      <alignment horizontal="general" vertical="bottom"/>
    </xf>
    <xf numFmtId="165" fontId="21" fillId="0" borderId="1" applyAlignment="1" pivotButton="0" quotePrefix="0" xfId="0">
      <alignment horizontal="right" vertical="bottom"/>
    </xf>
    <xf numFmtId="3" fontId="21" fillId="0" borderId="1" applyAlignment="1" pivotButton="0" quotePrefix="0" xfId="0">
      <alignment horizontal="right" vertical="bottom"/>
    </xf>
    <xf numFmtId="166" fontId="17" fillId="8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right" vertical="bottom"/>
    </xf>
    <xf numFmtId="164" fontId="21" fillId="0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left" vertical="bottom"/>
    </xf>
    <xf numFmtId="3" fontId="10" fillId="0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right" vertical="bottom"/>
    </xf>
    <xf numFmtId="0" fontId="6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/>
    </xf>
    <xf numFmtId="3" fontId="15" fillId="0" borderId="1" applyAlignment="1" pivotButton="0" quotePrefix="0" xfId="0">
      <alignment horizontal="right" vertical="bottom"/>
    </xf>
    <xf numFmtId="164" fontId="15" fillId="0" borderId="1" applyAlignment="1" pivotButton="0" quotePrefix="0" xfId="0">
      <alignment horizontal="right" vertical="bottom"/>
    </xf>
    <xf numFmtId="165" fontId="16" fillId="0" borderId="1" applyAlignment="1" pivotButton="0" quotePrefix="0" xfId="0">
      <alignment horizontal="right" vertical="bottom"/>
    </xf>
    <xf numFmtId="3" fontId="16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6" fillId="8" borderId="0" applyAlignment="1" pivotButton="0" quotePrefix="0" xfId="0">
      <alignment horizontal="left" vertical="center"/>
    </xf>
    <xf numFmtId="165" fontId="15" fillId="0" borderId="1" applyAlignment="1" pivotButton="0" quotePrefix="0" xfId="0">
      <alignment horizontal="right" vertical="bottom"/>
    </xf>
    <xf numFmtId="166" fontId="16" fillId="0" borderId="1" applyAlignment="1" pivotButton="0" quotePrefix="0" xfId="0">
      <alignment horizontal="right" vertical="bottom"/>
    </xf>
    <xf numFmtId="167" fontId="15" fillId="0" borderId="1" applyAlignment="1" pivotButton="0" quotePrefix="0" xfId="0">
      <alignment horizontal="right" vertical="bottom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general" vertical="bottom"/>
    </xf>
    <xf numFmtId="3" fontId="17" fillId="9" borderId="0" applyAlignment="1" pivotButton="0" quotePrefix="0" xfId="0">
      <alignment horizontal="right" vertical="bottom"/>
    </xf>
    <xf numFmtId="166" fontId="18" fillId="10" borderId="0" applyAlignment="1" pivotButton="0" quotePrefix="0" xfId="0">
      <alignment horizontal="right" vertical="bottom"/>
    </xf>
    <xf numFmtId="167" fontId="17" fillId="9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3" fontId="20" fillId="0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0" fontId="9" fillId="0" borderId="1" applyAlignment="1" pivotButton="0" quotePrefix="0" xfId="0">
      <alignment horizontal="general" vertical="bottom"/>
    </xf>
    <xf numFmtId="165" fontId="21" fillId="0" borderId="1" applyAlignment="1" pivotButton="0" quotePrefix="0" xfId="0">
      <alignment horizontal="right" vertical="bottom"/>
    </xf>
    <xf numFmtId="3" fontId="21" fillId="0" borderId="1" applyAlignment="1" pivotButton="0" quotePrefix="0" xfId="0">
      <alignment horizontal="right" vertical="bottom"/>
    </xf>
    <xf numFmtId="166" fontId="17" fillId="8" borderId="1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right" vertical="bottom"/>
    </xf>
    <xf numFmtId="164" fontId="21" fillId="0" borderId="1" applyAlignment="1" pivotButton="0" quotePrefix="0" xfId="0">
      <alignment horizontal="right" vertical="bottom"/>
    </xf>
    <xf numFmtId="0" fontId="22" fillId="0" borderId="0" pivotButton="0" quotePrefix="0" xfId="0"/>
    <xf numFmtId="0" fontId="23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97B"/>
      <rgbColor rgb="FFF5F5F5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F4FF"/>
      <rgbColor rgb="FFFFF8E1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C2461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38" customWidth="1" style="47" min="2" max="2"/>
    <col width="20" customWidth="1" style="47" min="3" max="4"/>
    <col width="24" customWidth="1" style="47" min="5" max="5"/>
    <col width="42" customWidth="1" style="47" min="6" max="6"/>
  </cols>
  <sheetData>
    <row r="1" ht="39.75" customHeight="1" s="48">
      <c r="A1" s="49" t="inlineStr">
        <is>
          <t>TilikKlaim — Asumsi &amp; Sumber Data Simulasi ROI</t>
        </is>
      </c>
    </row>
    <row r="2" ht="18" customHeight="1" s="48">
      <c r="A2" s="50" t="inlineStr">
        <is>
          <t>Semua sel biru = input yang dapat diubah. Semua sel hitam = formula otomatis.</t>
        </is>
      </c>
    </row>
    <row r="4" ht="15" customHeight="1" s="48">
      <c r="A4" s="51" t="inlineStr">
        <is>
          <t>A. Profil Rumah Sakit (Input)</t>
        </is>
      </c>
    </row>
    <row r="5" ht="21.75" customHeight="1" s="48">
      <c r="A5" s="52" t="inlineStr">
        <is>
          <t>No</t>
        </is>
      </c>
      <c r="B5" s="52" t="inlineStr">
        <is>
          <t>Parameter</t>
        </is>
      </c>
      <c r="C5" s="52" t="inlineStr">
        <is>
          <t>Nilai</t>
        </is>
      </c>
      <c r="D5" s="52" t="inlineStr">
        <is>
          <t>Satuan</t>
        </is>
      </c>
      <c r="E5" s="52" t="inlineStr">
        <is>
          <t>Sumber</t>
        </is>
      </c>
      <c r="F5" s="52" t="inlineStr">
        <is>
          <t>Catatan</t>
        </is>
      </c>
    </row>
    <row r="6" ht="19.5" customHeight="1" s="48">
      <c r="A6" s="53" t="inlineStr">
        <is>
          <t>A1</t>
        </is>
      </c>
      <c r="B6" s="54" t="inlineStr">
        <is>
          <t>Tipe rumah sakit</t>
        </is>
      </c>
      <c r="C6" s="55" t="inlineStr">
        <is>
          <t>RS Tipe C</t>
        </is>
      </c>
      <c r="D6" s="53" t="inlineStr">
        <is>
          <t>Tipe</t>
        </is>
      </c>
      <c r="E6" s="56" t="inlineStr">
        <is>
          <t>Asumsi default</t>
        </is>
      </c>
      <c r="F6" s="56" t="inlineStr">
        <is>
          <t>RS Tipe C = faskes paling umum bermitra BPJS; dapat diubah ke Tipe B/D</t>
        </is>
      </c>
    </row>
    <row r="7" ht="19.5" customHeight="1" s="48">
      <c r="A7" s="53" t="inlineStr">
        <is>
          <t>A2</t>
        </is>
      </c>
      <c r="B7" s="54" t="inlineStr">
        <is>
          <t>Volume klaim RITL/bulan</t>
        </is>
      </c>
      <c r="C7" s="57" t="n">
        <v>500</v>
      </c>
      <c r="D7" s="53" t="inlineStr">
        <is>
          <t>klaim/bulan</t>
        </is>
      </c>
      <c r="E7" s="56" t="inlineStr">
        <is>
          <t>Estimasi operasional RS Tipe C</t>
        </is>
      </c>
      <c r="F7" s="56" t="inlineStr">
        <is>
          <t>RS Tipe C umumnya 300–800 admisi/bulan; gunakan 500 sebagai titik tengah</t>
        </is>
      </c>
    </row>
    <row r="8" ht="19.5" customHeight="1" s="48">
      <c r="A8" s="53" t="inlineStr">
        <is>
          <t>A3</t>
        </is>
      </c>
      <c r="B8" s="54" t="inlineStr">
        <is>
          <t>Nilai rata-rata klaim RITL</t>
        </is>
      </c>
      <c r="C8" s="57" t="n">
        <v>4747547</v>
      </c>
      <c r="D8" s="53" t="inlineStr">
        <is>
          <t>Rp/admisi</t>
        </is>
      </c>
      <c r="E8" s="56" t="inlineStr">
        <is>
          <t>DJSN 2018 — Tabel 6.3.1 (Rata-rata Nasional)</t>
        </is>
      </c>
      <c r="F8" s="56" t="inlineStr">
        <is>
          <t>Angka resmi: Rp 4.747.547/admisi. Sumber: data.bpjs-kesehatan.go.id</t>
        </is>
      </c>
    </row>
    <row r="9" ht="19.5" customHeight="1" s="48">
      <c r="A9" s="53" t="inlineStr">
        <is>
          <t>A4</t>
        </is>
      </c>
      <c r="B9" s="54" t="inlineStr">
        <is>
          <t>Rejection rate awal (saat ini)</t>
        </is>
      </c>
      <c r="C9" s="58" t="n">
        <v>0.06</v>
      </c>
      <c r="D9" s="53" t="inlineStr">
        <is>
          <t>%</t>
        </is>
      </c>
      <c r="E9" s="56" t="inlineStr">
        <is>
          <t>Estimasi industri (6%)</t>
        </is>
      </c>
      <c r="F9" s="56" t="inlineStr">
        <is>
          <t>Tidak ada data nasional terpublikasi; 6% = estimasi konservatif dari literatur JKN</t>
        </is>
      </c>
    </row>
    <row r="11" ht="15" customHeight="1" s="48">
      <c r="A11" s="59" t="inlineStr">
        <is>
          <t>B. Asumsi TilikKlaim (Input)</t>
        </is>
      </c>
    </row>
    <row r="12" ht="21.75" customHeight="1" s="48">
      <c r="A12" s="60" t="inlineStr">
        <is>
          <t>No</t>
        </is>
      </c>
      <c r="B12" s="60" t="inlineStr">
        <is>
          <t>Parameter</t>
        </is>
      </c>
      <c r="C12" s="60" t="inlineStr">
        <is>
          <t>Nilai</t>
        </is>
      </c>
      <c r="D12" s="60" t="inlineStr">
        <is>
          <t>Satuan</t>
        </is>
      </c>
      <c r="E12" s="60" t="inlineStr">
        <is>
          <t>Sumber</t>
        </is>
      </c>
      <c r="F12" s="60" t="inlineStr">
        <is>
          <t>Catatan</t>
        </is>
      </c>
    </row>
    <row r="13" ht="19.5" customHeight="1" s="48">
      <c r="A13" s="53" t="inlineStr">
        <is>
          <t>B1</t>
        </is>
      </c>
      <c r="B13" s="54" t="inlineStr">
        <is>
          <t>Penurunan rejection (skenario konservatif)</t>
        </is>
      </c>
      <c r="C13" s="58" t="n">
        <v>0.4</v>
      </c>
      <c r="D13" s="53" t="inlineStr">
        <is>
          <t>%</t>
        </is>
      </c>
      <c r="E13" s="56" t="inlineStr">
        <is>
          <t>Asumsi TilikKlaim (konservatif)</t>
        </is>
      </c>
      <c r="F13" s="56" t="inlineStr">
        <is>
          <t>40% = skenario konservatif; skenario lain ada di sheet "Skenario"</t>
        </is>
      </c>
    </row>
    <row r="14" ht="19.5" customHeight="1" s="48">
      <c r="A14" s="53" t="inlineStr">
        <is>
          <t>B2</t>
        </is>
      </c>
      <c r="B14" s="54" t="inlineStr">
        <is>
          <t>Biaya subscription TilikKlaim/bulan</t>
        </is>
      </c>
      <c r="C14" s="57" t="n">
        <v>3000000</v>
      </c>
      <c r="D14" s="53" t="inlineStr">
        <is>
          <t>Rp/bulan</t>
        </is>
      </c>
      <c r="E14" s="56" t="inlineStr">
        <is>
          <t>Penetapan harga internal TilikKlaim</t>
        </is>
      </c>
      <c r="F14" s="56" t="inlineStr">
        <is>
          <t>Harga belum final; diasumsikan Rp 3 juta/bulan untuk RS Tipe C</t>
        </is>
      </c>
    </row>
    <row r="15" ht="19.5" customHeight="1" s="48">
      <c r="A15" s="53" t="inlineStr">
        <is>
          <t>B3</t>
        </is>
      </c>
      <c r="B15" s="54" t="inlineStr">
        <is>
          <t>Biaya implementasi awal (one-time)</t>
        </is>
      </c>
      <c r="C15" s="57" t="n">
        <v>5000000</v>
      </c>
      <c r="D15" s="53" t="inlineStr">
        <is>
          <t>Rp</t>
        </is>
      </c>
      <c r="E15" s="56" t="inlineStr">
        <is>
          <t>Estimasi biaya onboarding</t>
        </is>
      </c>
      <c r="F15" s="56" t="inlineStr">
        <is>
          <t>Meliputi setup, training casemix officer (1–2 hari)</t>
        </is>
      </c>
    </row>
    <row r="16" ht="19.5" customHeight="1" s="48">
      <c r="A16" s="53" t="inlineStr">
        <is>
          <t>B4</t>
        </is>
      </c>
      <c r="B16" s="54" t="inlineStr">
        <is>
          <t>Overhead review casemix (per klaim berisiko)</t>
        </is>
      </c>
      <c r="C16" s="57" t="n">
        <v>150000</v>
      </c>
      <c r="D16" s="53" t="inlineStr">
        <is>
          <t>Rp/klaim</t>
        </is>
      </c>
      <c r="E16" s="56" t="inlineStr">
        <is>
          <t>Estimasi biaya waktu staf</t>
        </is>
      </c>
      <c r="F16" s="56" t="inlineStr">
        <is>
          <t>≈ 30 menit × Rp 300rb/jam casemix officer; dapat disesuaikan</t>
        </is>
      </c>
    </row>
    <row r="18" ht="15" customHeight="1" s="48">
      <c r="A18" s="61" t="inlineStr">
        <is>
          <t>Legenda Warna</t>
        </is>
      </c>
    </row>
    <row r="19" ht="15" customHeight="1" s="48">
      <c r="B19" s="62" t="inlineStr">
        <is>
          <t>Sel Biru</t>
        </is>
      </c>
      <c r="C19" s="63" t="inlineStr">
        <is>
          <t>Input — dapat diubah sesuai kondisi faskes</t>
        </is>
      </c>
    </row>
    <row r="20" ht="15" customHeight="1" s="48">
      <c r="B20" s="64" t="inlineStr">
        <is>
          <t>Sel Hitam</t>
        </is>
      </c>
      <c r="C20" s="63" t="inlineStr">
        <is>
          <t>Formula otomatis — jangan diedit</t>
        </is>
      </c>
    </row>
    <row r="21" ht="15" customHeight="1" s="48">
      <c r="B21" s="65" t="inlineStr">
        <is>
          <t>Sel Hijau</t>
        </is>
      </c>
      <c r="C21" s="63" t="inlineStr">
        <is>
          <t>Tautan antar sheet</t>
        </is>
      </c>
    </row>
  </sheetData>
  <mergeCells count="4">
    <mergeCell ref="A11:F11"/>
    <mergeCell ref="A1:F1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40" customWidth="1" style="47" min="2" max="2"/>
    <col width="22" customWidth="1" style="47" min="3" max="5"/>
    <col width="18" customWidth="1" style="47" min="6" max="6"/>
    <col width="38" customWidth="1" style="47" min="7" max="7"/>
  </cols>
  <sheetData>
    <row r="1" ht="36" customHeight="1" s="48">
      <c r="A1" s="66" t="inlineStr">
        <is>
          <t>Simulasi ROI TilikKlaim — Per Rumah Sakit (Skenario Konservatif 40%)</t>
        </is>
      </c>
    </row>
    <row r="2" ht="15" customHeight="1" s="48">
      <c r="A2" s="50" t="inlineStr">
        <is>
          <t>Angka biru = tautan dari sheet "Asumsi". Formula otomatis dihitung ulang jika asumsi berubah.</t>
        </is>
      </c>
    </row>
    <row r="4" ht="15" customHeight="1" s="48">
      <c r="A4" s="67" t="inlineStr">
        <is>
          <t>❌  KONDISI TANPA TilikKlaim (Baseline)</t>
        </is>
      </c>
    </row>
    <row r="5" ht="21.75" customHeight="1" s="48">
      <c r="A5" s="52" t="inlineStr">
        <is>
          <t>No</t>
        </is>
      </c>
      <c r="B5" s="52" t="inlineStr">
        <is>
          <t>Komponen</t>
        </is>
      </c>
      <c r="C5" s="52" t="inlineStr">
        <is>
          <t>Nilai/Bulan</t>
        </is>
      </c>
      <c r="D5" s="52" t="inlineStr">
        <is>
          <t>Satuan</t>
        </is>
      </c>
      <c r="E5" s="52" t="inlineStr">
        <is>
          <t>Formula</t>
        </is>
      </c>
      <c r="F5" s="52" t="n"/>
      <c r="G5" s="52" t="inlineStr">
        <is>
          <t>Catatan</t>
        </is>
      </c>
    </row>
    <row r="6" ht="19.5" customHeight="1" s="48">
      <c r="A6" s="53" t="inlineStr">
        <is>
          <t>1</t>
        </is>
      </c>
      <c r="B6" s="54" t="inlineStr">
        <is>
          <t>Volume klaim RITL/bulan</t>
        </is>
      </c>
      <c r="C6" s="68">
        <f>Asumsi!$C$7</f>
        <v/>
      </c>
      <c r="E6" s="56" t="inlineStr">
        <is>
          <t>Dari Asumsi A2</t>
        </is>
      </c>
    </row>
    <row r="7" ht="19.5" customHeight="1" s="48">
      <c r="A7" s="53" t="inlineStr">
        <is>
          <t>2</t>
        </is>
      </c>
      <c r="B7" s="54" t="inlineStr">
        <is>
          <t>Rejection rate (awal)</t>
        </is>
      </c>
      <c r="C7" s="69">
        <f>Asumsi!$C$9</f>
        <v/>
      </c>
      <c r="E7" s="56" t="inlineStr">
        <is>
          <t>Dari Asumsi A4</t>
        </is>
      </c>
    </row>
    <row r="8" ht="19.5" customHeight="1" s="48">
      <c r="A8" s="53" t="inlineStr">
        <is>
          <t>3</t>
        </is>
      </c>
      <c r="B8" s="54" t="inlineStr">
        <is>
          <t>Klaim ditolak/bulan</t>
        </is>
      </c>
      <c r="C8" s="70">
        <f>C6*C7</f>
        <v/>
      </c>
      <c r="E8" s="56" t="inlineStr">
        <is>
          <t>Vol × Rejection rate</t>
        </is>
      </c>
    </row>
    <row r="9" ht="19.5" customHeight="1" s="48">
      <c r="A9" s="53" t="inlineStr">
        <is>
          <t>4</t>
        </is>
      </c>
      <c r="B9" s="54" t="inlineStr">
        <is>
          <t>Nilai rata-rata klaim RITL</t>
        </is>
      </c>
      <c r="C9" s="68">
        <f>Asumsi!$C$8</f>
        <v/>
      </c>
      <c r="E9" s="56" t="inlineStr">
        <is>
          <t>Dari Asumsi A3 (DJSN 2018)</t>
        </is>
      </c>
    </row>
    <row r="10" ht="19.5" customHeight="1" s="48">
      <c r="A10" s="53" t="inlineStr">
        <is>
          <t>5</t>
        </is>
      </c>
      <c r="B10" s="54" t="inlineStr">
        <is>
          <t>Nilai klaim terhambat/bulan</t>
        </is>
      </c>
      <c r="C10" s="71">
        <f>C8*C9</f>
        <v/>
      </c>
      <c r="E10" s="56" t="inlineStr">
        <is>
          <t>Klaim ditolak × Nilai rata-rata</t>
        </is>
      </c>
    </row>
    <row r="11" ht="19.5" customHeight="1" s="48">
      <c r="A11" s="53" t="inlineStr">
        <is>
          <t>6</t>
        </is>
      </c>
      <c r="B11" s="54" t="inlineStr">
        <is>
          <t>Durasi keberatan (estimasi)</t>
        </is>
      </c>
      <c r="C11" s="72" t="inlineStr">
        <is>
          <t>30–90 hari</t>
        </is>
      </c>
      <c r="E11" s="56" t="inlineStr">
        <is>
          <t>Proses banding BPJS</t>
        </is>
      </c>
    </row>
    <row r="12" ht="19.5" customHeight="1" s="48">
      <c r="A12" s="53" t="inlineStr">
        <is>
          <t>7</t>
        </is>
      </c>
      <c r="B12" s="54" t="inlineStr">
        <is>
          <t>Cash flow terganggu/bulan</t>
        </is>
      </c>
      <c r="C12" s="71">
        <f>C10</f>
        <v/>
      </c>
      <c r="E12" s="56" t="inlineStr">
        <is>
          <t>Setara nilai terhambat</t>
        </is>
      </c>
    </row>
    <row r="14" ht="15" customHeight="1" s="48">
      <c r="A14" s="73" t="inlineStr">
        <is>
          <t>✅  KONDISI DENGAN TilikKlaim (Skenario Konservatif)</t>
        </is>
      </c>
    </row>
    <row r="15" ht="21.75" customHeight="1" s="48">
      <c r="A15" s="60" t="inlineStr">
        <is>
          <t>No</t>
        </is>
      </c>
      <c r="B15" s="60" t="inlineStr">
        <is>
          <t>Komponen</t>
        </is>
      </c>
      <c r="C15" s="60" t="inlineStr">
        <is>
          <t>Nilai/Bulan</t>
        </is>
      </c>
      <c r="D15" s="60" t="inlineStr">
        <is>
          <t>Satuan</t>
        </is>
      </c>
      <c r="E15" s="60" t="inlineStr">
        <is>
          <t>Formula</t>
        </is>
      </c>
      <c r="F15" s="60" t="n"/>
      <c r="G15" s="60" t="inlineStr">
        <is>
          <t>Catatan</t>
        </is>
      </c>
    </row>
    <row r="16" ht="19.5" customHeight="1" s="48">
      <c r="A16" s="53" t="inlineStr">
        <is>
          <t>1</t>
        </is>
      </c>
      <c r="B16" s="54" t="inlineStr">
        <is>
          <t>Penurunan rejection rate</t>
        </is>
      </c>
      <c r="C16" s="69">
        <f>Asumsi!$C$13</f>
        <v/>
      </c>
      <c r="E16" s="56" t="inlineStr">
        <is>
          <t>Dari Asumsi B1 (konservatif 40%)</t>
        </is>
      </c>
    </row>
    <row r="17" ht="19.5" customHeight="1" s="48">
      <c r="A17" s="53" t="inlineStr">
        <is>
          <t>2</t>
        </is>
      </c>
      <c r="B17" s="54" t="inlineStr">
        <is>
          <t>Rejection rate setelah TilikKlaim</t>
        </is>
      </c>
      <c r="C17" s="69">
        <f>Asumsi!$C$9*(1-Asumsi!$C$13)</f>
        <v/>
      </c>
      <c r="E17" s="56" t="inlineStr">
        <is>
          <t>Asumsi A4 × (1 − B1)</t>
        </is>
      </c>
    </row>
    <row r="18" ht="19.5" customHeight="1" s="48">
      <c r="A18" s="53" t="inlineStr">
        <is>
          <t>3</t>
        </is>
      </c>
      <c r="B18" s="54" t="inlineStr">
        <is>
          <t>Klaim terselamatkan/bulan</t>
        </is>
      </c>
      <c r="C18" s="74">
        <f>Asumsi!$C$7*Asumsi!$C$9*Asumsi!$C$13</f>
        <v/>
      </c>
      <c r="E18" s="56" t="inlineStr">
        <is>
          <t>Vol × Rej_rate × Penurunan</t>
        </is>
      </c>
    </row>
    <row r="19" ht="19.5" customHeight="1" s="48">
      <c r="A19" s="53" t="inlineStr">
        <is>
          <t>4</t>
        </is>
      </c>
      <c r="B19" s="54" t="inlineStr">
        <is>
          <t>Nilai klaim terselamatkan/bulan</t>
        </is>
      </c>
      <c r="C19" s="71">
        <f>C18*Asumsi!$C$8</f>
        <v/>
      </c>
      <c r="E19" s="56" t="inlineStr">
        <is>
          <t>Klaim terselamatkan × Nilai rata-rata</t>
        </is>
      </c>
    </row>
    <row r="20" ht="19.5" customHeight="1" s="48">
      <c r="A20" s="53" t="inlineStr">
        <is>
          <t>5</t>
        </is>
      </c>
      <c r="B20" s="54" t="inlineStr">
        <is>
          <t>Biaya subscription/bulan</t>
        </is>
      </c>
      <c r="C20" s="68">
        <f>Asumsi!$C$14</f>
        <v/>
      </c>
      <c r="E20" s="56" t="inlineStr">
        <is>
          <t>Dari Asumsi B2</t>
        </is>
      </c>
    </row>
    <row r="21" ht="19.5" customHeight="1" s="48">
      <c r="A21" s="53" t="inlineStr">
        <is>
          <t>6</t>
        </is>
      </c>
      <c r="B21" s="54" t="inlineStr">
        <is>
          <t>Net benefit/bulan</t>
        </is>
      </c>
      <c r="C21" s="71">
        <f>C19-C20</f>
        <v/>
      </c>
      <c r="E21" s="56" t="inlineStr">
        <is>
          <t>Nilai terselamatkan − Biaya sub</t>
        </is>
      </c>
    </row>
    <row r="22" ht="19.5" customHeight="1" s="48">
      <c r="A22" s="53" t="inlineStr">
        <is>
          <t>7</t>
        </is>
      </c>
      <c r="B22" s="54" t="inlineStr">
        <is>
          <t>ROI per bulan</t>
        </is>
      </c>
      <c r="C22" s="75">
        <f>C19/C20</f>
        <v/>
      </c>
      <c r="E22" s="56" t="inlineStr">
        <is>
          <t>Nilai terselamatkan ÷ Biaya sub</t>
        </is>
      </c>
    </row>
    <row r="23" ht="19.5" customHeight="1" s="48">
      <c r="A23" s="53" t="inlineStr">
        <is>
          <t>8</t>
        </is>
      </c>
      <c r="B23" s="54" t="inlineStr">
        <is>
          <t>Payback period (bulan pertama)</t>
        </is>
      </c>
      <c r="C23" s="76">
        <f>Asumsi!$C$15/C21</f>
        <v/>
      </c>
      <c r="E23" s="56" t="inlineStr">
        <is>
          <t>Implementasi awal ÷ Net benefit</t>
        </is>
      </c>
    </row>
    <row r="26" ht="15" customHeight="1" s="48">
      <c r="A26" s="77" t="inlineStr">
        <is>
          <t>📊  RINGKASAN ROI</t>
        </is>
      </c>
    </row>
    <row r="27" ht="16.15" customHeight="1" s="48">
      <c r="B27" s="78" t="inlineStr">
        <is>
          <t>Nilai klaim terselamatkan/bulan</t>
        </is>
      </c>
      <c r="C27" s="79">
        <f>C19</f>
        <v/>
      </c>
    </row>
    <row r="28" ht="16.15" customHeight="1" s="48">
      <c r="B28" s="78" t="inlineStr">
        <is>
          <t>Biaya TilikKlaim/bulan</t>
        </is>
      </c>
      <c r="C28" s="79">
        <f>C20</f>
        <v/>
      </c>
    </row>
    <row r="29" ht="16.15" customHeight="1" s="48">
      <c r="B29" s="78" t="inlineStr">
        <is>
          <t>Net benefit/bulan</t>
        </is>
      </c>
      <c r="C29" s="79">
        <f>C21</f>
        <v/>
      </c>
    </row>
    <row r="30" ht="19.7" customHeight="1" s="48">
      <c r="B30" s="78" t="inlineStr">
        <is>
          <t>ROI per bulan</t>
        </is>
      </c>
      <c r="C30" s="80">
        <f>C22</f>
        <v/>
      </c>
    </row>
    <row r="31" ht="16.15" customHeight="1" s="48">
      <c r="B31" s="78" t="inlineStr">
        <is>
          <t>Payback period</t>
        </is>
      </c>
      <c r="C31" s="81">
        <f>C23</f>
        <v/>
      </c>
    </row>
  </sheetData>
  <mergeCells count="4">
    <mergeCell ref="A26:G26"/>
    <mergeCell ref="A14:G14"/>
    <mergeCell ref="A1:G1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7" min="1" max="1"/>
    <col width="22" customWidth="1" style="47" min="2" max="5"/>
    <col width="36" customWidth="1" style="47" min="6" max="6"/>
  </cols>
  <sheetData>
    <row r="1" ht="36" customHeight="1" s="48">
      <c r="A1" s="66" t="inlineStr">
        <is>
          <t>Analisis Skenario — Penurunan Rejection Rate × Volume Klaim</t>
        </is>
      </c>
    </row>
    <row r="3" ht="15" customHeight="1" s="48">
      <c r="A3" s="82" t="inlineStr">
        <is>
          <t>Asumsi tetap (dari sheet Asumsi):</t>
        </is>
      </c>
    </row>
    <row r="4" ht="15" customHeight="1" s="48">
      <c r="A4" s="83" t="inlineStr">
        <is>
          <t>Volume klaim RITL/bulan</t>
        </is>
      </c>
      <c r="B4" s="84">
        <f>Asumsi!$C$7</f>
        <v/>
      </c>
    </row>
    <row r="5" ht="15" customHeight="1" s="48">
      <c r="A5" s="83" t="inlineStr">
        <is>
          <t>Nilai rata-rata klaim RITL (Rp)</t>
        </is>
      </c>
      <c r="B5" s="84">
        <f>Asumsi!$C$8</f>
        <v/>
      </c>
    </row>
    <row r="6" ht="15" customHeight="1" s="48">
      <c r="A6" s="83" t="inlineStr">
        <is>
          <t>Rejection rate awal</t>
        </is>
      </c>
      <c r="B6" s="85">
        <f>Asumsi!$C$9</f>
        <v/>
      </c>
    </row>
    <row r="7" ht="15" customHeight="1" s="48">
      <c r="A7" s="83" t="inlineStr">
        <is>
          <t>Biaya subscription TilikKlaim (Rp/bulan)</t>
        </is>
      </c>
      <c r="B7" s="84">
        <f>Asumsi!$C$14</f>
        <v/>
      </c>
    </row>
    <row r="9" ht="31.5" customHeight="1" s="48">
      <c r="A9" s="52" t="inlineStr">
        <is>
          <t>Metrik</t>
        </is>
      </c>
      <c r="B9" s="52" t="inlineStr">
        <is>
          <t>Konservatif
(40%)</t>
        </is>
      </c>
      <c r="C9" s="52" t="inlineStr">
        <is>
          <t>Base Case
(60%)</t>
        </is>
      </c>
      <c r="D9" s="52" t="inlineStr">
        <is>
          <t>Optimistis
(80%)</t>
        </is>
      </c>
      <c r="E9" s="52" t="n"/>
      <c r="F9" s="52" t="inlineStr">
        <is>
          <t>Catatan</t>
        </is>
      </c>
    </row>
    <row r="10" ht="15" customHeight="1" s="48">
      <c r="A10" s="83" t="inlineStr">
        <is>
          <t>Penurunan rejection rate</t>
        </is>
      </c>
      <c r="B10" s="86" t="n">
        <v>0.4</v>
      </c>
      <c r="C10" s="86" t="n">
        <v>0.6</v>
      </c>
      <c r="D10" s="86" t="n">
        <v>0.8</v>
      </c>
      <c r="F10" s="50" t="inlineStr">
        <is>
          <t>Input skenario — dapat diubah</t>
        </is>
      </c>
    </row>
    <row r="11" ht="15" customHeight="1" s="48">
      <c r="A11" s="87" t="inlineStr">
        <is>
          <t>Klaim terselamatkan/bulan</t>
        </is>
      </c>
      <c r="B11" s="88">
        <f>Asumsi!$C$7*Asumsi!$C$9*B10</f>
        <v/>
      </c>
      <c r="C11" s="88">
        <f>Asumsi!$C$7*Asumsi!$C$9*C10</f>
        <v/>
      </c>
      <c r="D11" s="88">
        <f>Asumsi!$C$7*Asumsi!$C$9*D10</f>
        <v/>
      </c>
    </row>
    <row r="12" ht="15" customHeight="1" s="48">
      <c r="A12" s="87" t="inlineStr">
        <is>
          <t>Nilai terselamatkan/bulan</t>
        </is>
      </c>
      <c r="B12" s="89">
        <f>Asumsi!$C$7*Asumsi!$C$9*B10*Asumsi!$C$8</f>
        <v/>
      </c>
      <c r="C12" s="89">
        <f>Asumsi!$C$7*Asumsi!$C$9*C10*Asumsi!$C$8</f>
        <v/>
      </c>
      <c r="D12" s="89">
        <f>Asumsi!$C$7*Asumsi!$C$9*D10*Asumsi!$C$8</f>
        <v/>
      </c>
    </row>
    <row r="13" ht="15" customHeight="1" s="48">
      <c r="A13" s="87" t="inlineStr">
        <is>
          <t>Biaya subscription/bulan</t>
        </is>
      </c>
      <c r="B13" s="89">
        <f>Asumsi!$C$14</f>
        <v/>
      </c>
      <c r="C13" s="89">
        <f>Asumsi!$C$14</f>
        <v/>
      </c>
      <c r="D13" s="89">
        <f>Asumsi!$C$14</f>
        <v/>
      </c>
    </row>
    <row r="14" ht="15" customHeight="1" s="48">
      <c r="A14" s="87" t="inlineStr">
        <is>
          <t>Net benefit/bulan</t>
        </is>
      </c>
      <c r="B14" s="89">
        <f>Asumsi!$C$7*Asumsi!$C$9*B10*Asumsi!$C$8-Asumsi!$C$14</f>
        <v/>
      </c>
      <c r="C14" s="89">
        <f>Asumsi!$C$7*Asumsi!$C$9*C10*Asumsi!$C$8-Asumsi!$C$14</f>
        <v/>
      </c>
      <c r="D14" s="89">
        <f>Asumsi!$C$7*Asumsi!$C$9*D10*Asumsi!$C$8-Asumsi!$C$14</f>
        <v/>
      </c>
    </row>
    <row r="15" ht="16.15" customHeight="1" s="48">
      <c r="A15" s="87" t="inlineStr">
        <is>
          <t>ROI per bulan</t>
        </is>
      </c>
      <c r="B15" s="90">
        <f>(Asumsi!$C$7*Asumsi!$C$9*B10*Asumsi!$C$8)/Asumsi!$C$14</f>
        <v/>
      </c>
      <c r="C15" s="90">
        <f>(Asumsi!$C$7*Asumsi!$C$9*C10*Asumsi!$C$8)/Asumsi!$C$14</f>
        <v/>
      </c>
      <c r="D15" s="90">
        <f>(Asumsi!$C$7*Asumsi!$C$9*D10*Asumsi!$C$8)/Asumsi!$C$14</f>
        <v/>
      </c>
    </row>
    <row r="18" ht="15" customHeight="1" s="48">
      <c r="A18" s="50" t="inlineStr">
        <is>
          <t>⚠  Semua skenario menggunakan rejection rate awal 6% dari Asumsi. Ubah nilai di sheet Asumsi untuk mengubah baseline.</t>
        </is>
      </c>
    </row>
  </sheetData>
  <mergeCells count="2">
    <mergeCell ref="A1:F1"/>
    <mergeCell ref="A18:F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47" min="1" max="1"/>
    <col width="22" customWidth="1" style="47" min="2" max="4"/>
    <col width="36" customWidth="1" style="47" min="5" max="5"/>
  </cols>
  <sheetData>
    <row r="1" ht="36" customHeight="1" s="48">
      <c r="A1" s="66" t="inlineStr">
        <is>
          <t>Proyeksi Dampak Nasional — Skenario Adopsi 500 Faskes</t>
        </is>
      </c>
    </row>
    <row r="3" ht="21.75" customHeight="1" s="48">
      <c r="A3" s="52" t="inlineStr">
        <is>
          <t>Parameter</t>
        </is>
      </c>
      <c r="B3" s="52" t="inlineStr">
        <is>
          <t>Nilai</t>
        </is>
      </c>
      <c r="C3" s="52" t="inlineStr">
        <is>
          <t>Satuan</t>
        </is>
      </c>
      <c r="D3" s="52" t="inlineStr">
        <is>
          <t>Sumber</t>
        </is>
      </c>
      <c r="E3" s="52" t="inlineStr">
        <is>
          <t>Catatan</t>
        </is>
      </c>
    </row>
    <row r="4" ht="15" customHeight="1" s="48">
      <c r="A4" s="91" t="inlineStr">
        <is>
          <t>Target faskes adopsi (input)</t>
        </is>
      </c>
      <c r="B4" s="92" t="n">
        <v>500</v>
      </c>
      <c r="C4" s="63" t="inlineStr">
        <is>
          <t>faskes</t>
        </is>
      </c>
      <c r="D4" s="50" t="inlineStr">
        <is>
          <t>Asumsi skenario</t>
        </is>
      </c>
      <c r="E4" s="50" t="inlineStr">
        <is>
          <t>Ubah sel ini untuk menghitung skenario adopsi lain</t>
        </is>
      </c>
    </row>
    <row r="5" ht="19.5" customHeight="1" s="48">
      <c r="A5" s="87" t="inlineStr">
        <is>
          <t>Net benefit per faskes/bulan (konsv.)</t>
        </is>
      </c>
      <c r="B5" s="89">
        <f>(Asumsi!$C$7*Asumsi!$C$9*Asumsi!$C$13*Asumsi!$C$8-Asumsi!$C$14)</f>
        <v/>
      </c>
      <c r="C5" s="53" t="n"/>
      <c r="D5" s="56" t="inlineStr">
        <is>
          <t>Hitung langsung dari Asumsi</t>
        </is>
      </c>
      <c r="E5" s="56" t="inlineStr">
        <is>
          <t>Vol×Rej×Penurunan×Avg − Biaya sub (konsv 40%)</t>
        </is>
      </c>
    </row>
    <row r="6" ht="19.5" customHeight="1" s="48">
      <c r="A6" s="87" t="inlineStr">
        <is>
          <t>Total efisiensi/bulan (semua faskes)</t>
        </is>
      </c>
      <c r="B6" s="89">
        <f>(Asumsi!$C$7*Asumsi!$C$9*Asumsi!$C$13*Asumsi!$C$8-Asumsi!$C$14)*B4</f>
        <v/>
      </c>
      <c r="C6" s="53" t="n"/>
      <c r="D6" s="56" t="inlineStr">
        <is>
          <t>Hitung otomatis</t>
        </is>
      </c>
      <c r="E6" s="56" t="inlineStr">
        <is>
          <t>Net benefit × jumlah faskes</t>
        </is>
      </c>
    </row>
    <row r="7" ht="19.5" customHeight="1" s="48">
      <c r="A7" s="87" t="inlineStr">
        <is>
          <t>Total efisiensi/tahun</t>
        </is>
      </c>
      <c r="B7" s="89">
        <f>(Asumsi!$C$7*Asumsi!$C$9*Asumsi!$C$13*Asumsi!$C$8-Asumsi!$C$14)*B4*12</f>
        <v/>
      </c>
      <c r="C7" s="53" t="n"/>
      <c r="D7" s="56" t="inlineStr">
        <is>
          <t>Hitung otomatis</t>
        </is>
      </c>
      <c r="E7" s="56" t="inlineStr">
        <is>
          <t>Bulanan × 12</t>
        </is>
      </c>
    </row>
    <row r="8" ht="19.5" customHeight="1" s="48">
      <c r="A8" s="87" t="inlineStr">
        <is>
          <t>Potensi efisiensi vs total klaim JKN</t>
        </is>
      </c>
      <c r="B8" s="93">
        <f>(Asumsi!$C$7*Asumsi!$C$9*Asumsi!$C$13*Asumsi!$C$8-Asumsi!$C$14)*B4*12/172590000000000</f>
        <v/>
      </c>
      <c r="C8" s="53" t="n"/>
      <c r="D8" s="56" t="inlineStr">
        <is>
          <t>DJSN 2018 — Rp 172,59 T</t>
        </is>
      </c>
      <c r="E8" s="56" t="inlineStr">
        <is>
          <t>Proporsi dari total klaim JKN 2018</t>
        </is>
      </c>
    </row>
    <row r="9" ht="19.5" customHeight="1" s="48">
      <c r="A9" s="87" t="inlineStr">
        <is>
          <t>Nilai klaim JKN total (referensi)</t>
        </is>
      </c>
      <c r="B9" s="57" t="n">
        <v>172590000000000</v>
      </c>
      <c r="C9" s="53" t="n"/>
      <c r="D9" s="56" t="inlineStr">
        <is>
          <t>DJSN 2018</t>
        </is>
      </c>
      <c r="E9" s="56" t="inlineStr">
        <is>
          <t>Rp 172,59 triliun — angka resmi</t>
        </is>
      </c>
    </row>
    <row r="10" ht="19.5" customHeight="1" s="48">
      <c r="A10" s="87" t="inlineStr">
        <is>
          <t>Claim ratio JKN 2018 (referensi)</t>
        </is>
      </c>
      <c r="B10" s="58" t="n">
        <v>1.0804</v>
      </c>
      <c r="C10" s="53" t="n"/>
      <c r="D10" s="56" t="inlineStr">
        <is>
          <t>DJSN 2018 (108,04%)</t>
        </is>
      </c>
      <c r="E10" s="56" t="inlineStr">
        <is>
          <t>Biaya melebihi premi yang dikumpulkan</t>
        </is>
      </c>
    </row>
    <row r="12">
      <c r="A12" s="47" t="inlineStr">
        <is>
          <t>Asumsi anomali klaim nasional (input)</t>
        </is>
      </c>
      <c r="B12" s="94" t="n">
        <v>0.03</v>
      </c>
      <c r="C12" s="47" t="inlineStr">
        <is>
          <t>%</t>
        </is>
      </c>
      <c r="D12" s="47" t="inlineStr">
        <is>
          <t>ASUMSI — belum divalidasi</t>
        </is>
      </c>
      <c r="E12" s="47" t="inlineStr">
        <is>
          <t>Proporsi ilustratif dari total klaim JKN yang berpotensi anomali; parameter dapat diubah, lihat catatan</t>
        </is>
      </c>
    </row>
    <row r="13" ht="15" customHeight="1" s="48">
      <c r="A13" s="47" t="inlineStr">
        <is>
          <t>Asumsi proporsi tercegah oleh TilikKlaim (input)</t>
        </is>
      </c>
      <c r="B13" s="94" t="n">
        <v>0.2</v>
      </c>
      <c r="C13" t="inlineStr">
        <is>
          <t>%</t>
        </is>
      </c>
      <c r="D13" t="inlineStr">
        <is>
          <t>ASUMSI — belum divalidasi</t>
        </is>
      </c>
      <c r="E13" t="inlineStr">
        <is>
          <t>Proporsi ilustratif dari anomali yang dapat dicegah/dikoreksi sebelum submit; skenario konservatif</t>
        </is>
      </c>
    </row>
    <row r="14">
      <c r="A14" s="47" t="inlineStr">
        <is>
          <t>Potensi efisiensi sistem JKN/tahun (skenario top-down)</t>
        </is>
      </c>
      <c r="B14" s="95">
        <f>B9*B12*B13</f>
        <v/>
      </c>
      <c r="C14" s="47" t="inlineStr">
        <is>
          <t>Rp</t>
        </is>
      </c>
      <c r="D14" s="47" t="inlineStr">
        <is>
          <t>Hitung otomatis dari baris 9, 12, 13</t>
        </is>
      </c>
      <c r="E14" s="47" t="inlineStr">
        <is>
          <t>Nilai klaim JKN total × asumsi anomali × asumsi tercegah — TERPISAH dari simulasi per-faskes (baris 5–8), disajikan sebagai skenario ilustratif alternatif</t>
        </is>
      </c>
    </row>
    <row r="17">
      <c r="A17" s="50" t="inlineStr">
        <is>
          <t>⚠  Kedua proyeksi (baris 5–8 dan 12–14) bersifat ilustratif dan berbasis asumsi transparan, belum divalidasi dengan data klaim nyata. Akan divalidasi di pilot Fase 1–2.</t>
        </is>
      </c>
    </row>
  </sheetData>
  <mergeCells count="2">
    <mergeCell ref="A1:E1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2026-09-11T03:08:05Z</dcterms:created>
  <dcterms:modified xmlns:dcterms="http://purl.org/dc/terms/" xmlns:xsi="http://www.w3.org/2001/XMLSchema-instance" xsi:type="dcterms:W3CDTF">2026-09-11T14:16:00Z</dcterms:modified>
  <cp:revision>0</cp:revision>
</cp:coreProperties>
</file>